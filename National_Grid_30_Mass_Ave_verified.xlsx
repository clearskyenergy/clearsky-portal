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690" yWindow="-650" windowWidth="19420" windowHeight="10420" firstSheet="0" activeTab="0"/>
  </bookViews>
  <sheets>
    <sheet sheetId="1" name="Estimate" state="visible" r:id="rId4"/>
  </sheets>
  <definedNames>
    <definedName name="_xlnm.Print_Area" localSheetId="0">'Estimate'!$A2:$J54</definedName>
    <definedName name="_xlnm.Print_Titles" localSheetId="0">'Estimate'!$8:$8</definedName>
  </definedNames>
  <calcPr calcId="171027"/>
</workbook>
</file>

<file path=xl/sharedStrings.xml><?xml version="1.0" encoding="utf-8"?>
<sst xmlns="http://schemas.openxmlformats.org/spreadsheetml/2006/main" count="99" uniqueCount="74">
  <si>
    <t>ESTIMATE</t>
  </si>
  <si>
    <t>Estimate Date: 8/27/2026</t>
  </si>
  <si>
    <t xml:space="preserve">National Grid Application #: </t>
  </si>
  <si>
    <t xml:space="preserve">Project Site Street Address: </t>
  </si>
  <si>
    <t xml:space="preserve">Company Name: </t>
  </si>
  <si>
    <t xml:space="preserve">Name: </t>
  </si>
  <si>
    <t xml:space="preserve">National Grid WR #: </t>
  </si>
  <si>
    <t xml:space="preserve">Project City, State, ZIP Code: </t>
  </si>
  <si>
    <t xml:space="preserve">Telephone Number: </t>
  </si>
  <si>
    <t>Program Segment (Public, Workplace, etc.): Multi-Unit Dwelling (MUD)</t>
  </si>
  <si>
    <t>Number of Ports: 10</t>
  </si>
  <si>
    <t xml:space="preserve">Email: </t>
  </si>
  <si>
    <t>Number of Stations: 10</t>
  </si>
  <si>
    <t>Desciption</t>
  </si>
  <si>
    <t>Detail/Notes</t>
  </si>
  <si>
    <t>Unit Type</t>
  </si>
  <si>
    <t>How Many ft/ea/ports</t>
  </si>
  <si>
    <t>Material Total $</t>
  </si>
  <si>
    <t>Labor Total $</t>
  </si>
  <si>
    <t>Total Cost $</t>
  </si>
  <si>
    <t>Eligible Design and Permitting costs</t>
  </si>
  <si>
    <t>Design/Engineering/Permitting</t>
  </si>
  <si>
    <t>Design Costs</t>
  </si>
  <si>
    <t>Eligible Customer-Side Infrastructure Make-Ready costs - Site and Electrical Work</t>
  </si>
  <si>
    <t xml:space="preserve">Trenching &amp; Backfill - Continuously Paved Area
(i.e., asphalt, concrete)</t>
  </si>
  <si>
    <t/>
  </si>
  <si>
    <t xml:space="preserve">Trenching &amp; Backfill - Non-Continuously Paved Area
(i.e., grass)</t>
  </si>
  <si>
    <t>Conduit &amp; Cable - Underground/Above Ground/Indoor</t>
  </si>
  <si>
    <t>Protective Bollards</t>
  </si>
  <si>
    <t>Protective bollards</t>
  </si>
  <si>
    <t>Handholes/Manholes</t>
  </si>
  <si>
    <t>Concrete Work/Bases/Pads</t>
  </si>
  <si>
    <t>Panels/Service Board/Breakers</t>
  </si>
  <si>
    <t>Utility service point, Utility service meter</t>
  </si>
  <si>
    <t>Other</t>
  </si>
  <si>
    <t>Grounding + fire-stop + EV make-ready, Service transformer</t>
  </si>
  <si>
    <t>Civil Work - Eligible Utility-Side Infrastructure costs - Site and Electrical Work - Only applicable if contractor is installing utility-owned primary-side equipment</t>
  </si>
  <si>
    <t>Trenching &amp; Backfill for Primary Conduit (cost includes concrete encased conduit)</t>
  </si>
  <si>
    <t>Utility Transformer Pad</t>
  </si>
  <si>
    <t>Riser</t>
  </si>
  <si>
    <t>Eligible EVSE Costs</t>
  </si>
  <si>
    <t>EVSE Hardware #1</t>
  </si>
  <si>
    <t>Autel AC Pro</t>
  </si>
  <si>
    <t>EVSE Hardware #2</t>
  </si>
  <si>
    <t>EVSE Freight/Shipping</t>
  </si>
  <si>
    <t>EVSE freight/shipping</t>
  </si>
  <si>
    <t>Other (i.e., cable management, power management kits, mounting kits)</t>
  </si>
  <si>
    <t>Eligible Networking Costs</t>
  </si>
  <si>
    <t>EVSE Networking (Public L2s and MUDs only)</t>
  </si>
  <si>
    <t>EVSE networking</t>
  </si>
  <si>
    <t>Ineligible Infrastructure Make-Ready costs - Infrastructure Site Work</t>
  </si>
  <si>
    <t>Parking Spot Striping/Painting/ EV Signage</t>
  </si>
  <si>
    <t>Signage &amp; striping</t>
  </si>
  <si>
    <t>Ineligible Infrastructure Make-Ready costs - Infrastructure Site Work - Future Proofing</t>
  </si>
  <si>
    <t>Trenching &amp; Backfill (asphalt, concrete, grass) - Future Proofing (cost includes conduit and cable)</t>
  </si>
  <si>
    <t>Protective Bollards - Future Proofing</t>
  </si>
  <si>
    <t>Concrete Work/Bases/Pads - Future Proofing</t>
  </si>
  <si>
    <t>Panels/Service Board/Breakers - Future Proofing</t>
  </si>
  <si>
    <t>Other - Future Proofing</t>
  </si>
  <si>
    <t>Ineligible EVSE Costs</t>
  </si>
  <si>
    <t>Maintenance/Warranty Plan</t>
  </si>
  <si>
    <t>Activation Fee</t>
  </si>
  <si>
    <t>Activation fee</t>
  </si>
  <si>
    <t>Validation</t>
  </si>
  <si>
    <t>EVSE Networking (Workplace, Fleet, DCFC)</t>
  </si>
  <si>
    <t>Eligible Customer-Side Make-Ready Total</t>
  </si>
  <si>
    <t>Eligible EVSE Total</t>
  </si>
  <si>
    <t>Eligible Networking Total</t>
  </si>
  <si>
    <t>Total for Eligible Costs</t>
  </si>
  <si>
    <t>Total for Ineligible Costs</t>
  </si>
  <si>
    <t>Sales Tax (need to enter tax in this field)</t>
  </si>
  <si>
    <t>Total for Eligible and Ineligible Costs</t>
  </si>
  <si>
    <t>Estimate</t>
  </si>
  <si>
    <t>Total Utility Side Infrastructure Costs (Civil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</si>
</sst>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_)"/>
    <numFmt numFmtId="165" formatCode="_(&quot;$&quot;* #,##0.00_);_(&quot;$&quot;* (#,##0.00);_(&quot;$&quot;* &quot;-&quot;??_);_(@_)"/>
  </numFmts>
  <fonts count="14" x14ac:knownFonts="1">
    <font>
      <color theme="1"/>
      <family val="2"/>
      <scheme val="minor"/>
      <sz val="11"/>
      <name val="Calibri"/>
    </font>
    <font>
      <color theme="2" tint="-0.749961851863155"/>
      <family val="2"/>
      <sz val="11"/>
      <name val="Calibri"/>
    </font>
    <font>
      <color theme="2" tint="-0.749961851863155"/>
      <family val="2"/>
      <sz val="8"/>
      <name val="Calibri"/>
    </font>
    <font>
      <color theme="2" tint="-0.749961851863155"/>
      <family val="2"/>
      <scheme val="minor"/>
      <sz val="11"/>
      <name val="Arial"/>
    </font>
    <font>
      <b/>
      <color theme="0"/>
      <family val="2"/>
      <sz val="25"/>
      <name val="Calibri"/>
    </font>
    <font>
      <family val="2"/>
      <sz val="10"/>
      <name val="Calibri"/>
    </font>
    <font>
      <b/>
      <u/>
      <family val="2"/>
      <sz val="14"/>
      <name val="Calibri"/>
    </font>
    <font>
      <b/>
      <family val="2"/>
      <sz val="14"/>
      <name val="Calibri"/>
    </font>
    <font>
      <color theme="2" tint="-0.749961851863155"/>
      <family val="2"/>
      <sz val="14"/>
      <name val="Calibri"/>
    </font>
    <font>
      <b/>
      <color theme="0"/>
      <family val="2"/>
      <sz val="12"/>
      <name val="Calibri"/>
    </font>
    <font>
      <family val="2"/>
      <sz val="12"/>
      <name val="Calibri"/>
    </font>
    <font>
      <family val="2"/>
      <sz val="11"/>
      <name val="Calibri"/>
    </font>
    <font>
      <b/>
      <family val="2"/>
      <sz val="12"/>
      <name val="Calibri"/>
    </font>
    <font>
      <b/>
      <family val="2"/>
      <sz val="11"/>
      <name val="Calibri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/>
    <xf numFmtId="0" fontId="1" fillId="3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5" fillId="2" borderId="0" xfId="0" applyFont="1" applyFill="1" applyAlignment="1">
      <alignment horizontal="left" vertical="center" wrapText="1" indent="1"/>
    </xf>
    <xf numFmtId="0" fontId="6" fillId="3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3" fillId="2" borderId="6" xfId="0" applyFont="1" applyFill="1" applyBorder="1"/>
    <xf numFmtId="0" fontId="6" fillId="2" borderId="7" xfId="0" applyFont="1" applyFill="1" applyBorder="1" applyAlignment="1">
      <alignment horizontal="left" vertical="center"/>
    </xf>
    <xf numFmtId="0" fontId="3" fillId="2" borderId="8" xfId="0" applyFont="1" applyFill="1" applyBorder="1"/>
    <xf numFmtId="0" fontId="7" fillId="3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/>
    <xf numFmtId="0" fontId="7" fillId="2" borderId="11" xfId="0" applyFont="1" applyFill="1" applyBorder="1" applyAlignment="1">
      <alignment horizontal="left" vertical="center" indent="1"/>
    </xf>
    <xf numFmtId="0" fontId="7" fillId="2" borderId="12" xfId="0" applyFont="1" applyFill="1" applyBorder="1" applyAlignment="1">
      <alignment horizontal="left" vertical="center" indent="1"/>
    </xf>
    <xf numFmtId="164" fontId="7" fillId="2" borderId="12" xfId="0" applyNumberFormat="1" applyFont="1" applyFill="1" applyBorder="1" applyAlignment="1">
      <alignment horizontal="center" vertical="center" wrapText="1"/>
    </xf>
    <xf numFmtId="165" fontId="7" fillId="2" borderId="12" xfId="0" applyNumberFormat="1" applyFont="1" applyFill="1" applyBorder="1" applyAlignment="1">
      <alignment horizontal="center" vertical="center" wrapText="1"/>
    </xf>
    <xf numFmtId="165" fontId="7" fillId="2" borderId="13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 indent="1"/>
    </xf>
    <xf numFmtId="164" fontId="7" fillId="4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left" vertical="center" wrapText="1" indent="1"/>
    </xf>
    <xf numFmtId="165" fontId="7" fillId="4" borderId="0" xfId="0" applyNumberFormat="1" applyFont="1" applyFill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left" vertical="center" wrapText="1" indent="1"/>
    </xf>
    <xf numFmtId="165" fontId="7" fillId="4" borderId="15" xfId="0" applyNumberFormat="1" applyFont="1" applyFill="1" applyBorder="1" applyAlignment="1">
      <alignment horizontal="left" vertical="center" indent="1"/>
    </xf>
    <xf numFmtId="0" fontId="10" fillId="2" borderId="4" xfId="0" applyFont="1" applyFill="1" applyBorder="1" applyAlignment="1">
      <alignment horizontal="left" vertical="center" wrapText="1" indent="1"/>
    </xf>
    <xf numFmtId="0" fontId="10" fillId="2" borderId="5" xfId="0" applyFont="1" applyFill="1" applyBorder="1" applyAlignment="1">
      <alignment horizontal="left" vertical="center" wrapText="1" indent="1"/>
    </xf>
    <xf numFmtId="164" fontId="11" fillId="2" borderId="5" xfId="0" applyNumberFormat="1" applyFont="1" applyFill="1" applyBorder="1" applyAlignment="1">
      <alignment horizontal="center" vertical="center" wrapText="1"/>
    </xf>
    <xf numFmtId="165" fontId="11" fillId="4" borderId="16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left" vertical="center" wrapText="1" indent="1"/>
    </xf>
    <xf numFmtId="165" fontId="11" fillId="2" borderId="15" xfId="0" applyNumberFormat="1" applyFont="1" applyFill="1" applyBorder="1" applyAlignment="1">
      <alignment horizontal="left" vertical="center" indent="1"/>
    </xf>
    <xf numFmtId="0" fontId="9" fillId="4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2"/>
    </xf>
    <xf numFmtId="165" fontId="4" fillId="4" borderId="0" xfId="0" applyNumberFormat="1" applyFont="1" applyFill="1" applyAlignment="1">
      <alignment horizontal="center" vertical="center"/>
    </xf>
    <xf numFmtId="0" fontId="4" fillId="4" borderId="5" xfId="0" applyFont="1" applyFill="1" applyBorder="1" applyAlignment="1">
      <alignment horizontal="left" vertical="center" indent="2"/>
    </xf>
    <xf numFmtId="165" fontId="4" fillId="4" borderId="8" xfId="0" applyNumberFormat="1" applyFont="1" applyFill="1" applyBorder="1" applyAlignment="1">
      <alignment horizontal="left" vertical="center" indent="2"/>
    </xf>
    <xf numFmtId="164" fontId="11" fillId="2" borderId="5" xfId="0" applyNumberFormat="1" applyFont="1" applyFill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right" vertical="center"/>
    </xf>
    <xf numFmtId="165" fontId="11" fillId="2" borderId="16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vertical="top" wrapText="1"/>
    </xf>
    <xf numFmtId="0" fontId="9" fillId="5" borderId="14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165" fontId="11" fillId="2" borderId="17" xfId="0" applyNumberFormat="1" applyFont="1" applyFill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wrapText="1" indent="1"/>
    </xf>
    <xf numFmtId="0" fontId="9" fillId="6" borderId="14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 indent="2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indent="2"/>
    </xf>
    <xf numFmtId="165" fontId="4" fillId="6" borderId="0" xfId="0" applyNumberFormat="1" applyFont="1" applyFill="1" applyAlignment="1">
      <alignment horizontal="center" vertical="center"/>
    </xf>
    <xf numFmtId="0" fontId="4" fillId="6" borderId="5" xfId="0" applyFont="1" applyFill="1" applyBorder="1" applyAlignment="1">
      <alignment horizontal="left" vertical="center" indent="2"/>
    </xf>
    <xf numFmtId="165" fontId="4" fillId="6" borderId="18" xfId="0" applyNumberFormat="1" applyFont="1" applyFill="1" applyBorder="1" applyAlignment="1">
      <alignment horizontal="left" vertical="center" indent="2"/>
    </xf>
    <xf numFmtId="0" fontId="10" fillId="2" borderId="19" xfId="0" applyFont="1" applyFill="1" applyBorder="1" applyAlignment="1">
      <alignment horizontal="left" vertical="center" wrapText="1" indent="1"/>
    </xf>
    <xf numFmtId="0" fontId="10" fillId="2" borderId="20" xfId="0" applyFont="1" applyFill="1" applyBorder="1" applyAlignment="1">
      <alignment vertical="top" wrapText="1"/>
    </xf>
    <xf numFmtId="164" fontId="11" fillId="2" borderId="20" xfId="0" applyNumberFormat="1" applyFont="1" applyFill="1" applyBorder="1" applyAlignment="1">
      <alignment horizontal="center" vertical="center"/>
    </xf>
    <xf numFmtId="164" fontId="11" fillId="2" borderId="20" xfId="0" applyNumberFormat="1" applyFont="1" applyFill="1" applyBorder="1" applyAlignment="1">
      <alignment horizontal="right" vertical="center"/>
    </xf>
    <xf numFmtId="165" fontId="11" fillId="2" borderId="17" xfId="0" applyNumberFormat="1" applyFont="1" applyFill="1" applyBorder="1" applyAlignment="1">
      <alignment horizontal="center" vertical="center" wrapText="1"/>
    </xf>
    <xf numFmtId="165" fontId="11" fillId="7" borderId="5" xfId="0" applyNumberFormat="1" applyFont="1" applyFill="1" applyBorder="1" applyAlignment="1">
      <alignment horizontal="center" vertical="center" wrapText="1"/>
    </xf>
    <xf numFmtId="164" fontId="11" fillId="7" borderId="5" xfId="0" applyNumberFormat="1" applyFont="1" applyFill="1" applyBorder="1" applyAlignment="1">
      <alignment horizontal="right" vertical="center"/>
    </xf>
    <xf numFmtId="0" fontId="10" fillId="2" borderId="20" xfId="0" applyFont="1" applyFill="1" applyBorder="1" applyAlignment="1">
      <alignment horizontal="left" vertical="center" wrapText="1" indent="1"/>
    </xf>
    <xf numFmtId="0" fontId="9" fillId="7" borderId="14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 indent="2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2"/>
    </xf>
    <xf numFmtId="165" fontId="4" fillId="7" borderId="0" xfId="0" applyNumberFormat="1" applyFont="1" applyFill="1" applyAlignment="1">
      <alignment horizontal="center" vertical="center"/>
    </xf>
    <xf numFmtId="0" fontId="4" fillId="7" borderId="5" xfId="0" applyFont="1" applyFill="1" applyBorder="1" applyAlignment="1">
      <alignment horizontal="left" vertical="center" indent="2"/>
    </xf>
    <xf numFmtId="165" fontId="4" fillId="7" borderId="18" xfId="0" applyNumberFormat="1" applyFont="1" applyFill="1" applyBorder="1" applyAlignment="1">
      <alignment horizontal="left" vertical="center" indent="2"/>
    </xf>
    <xf numFmtId="0" fontId="3" fillId="2" borderId="20" xfId="0" applyFont="1" applyFill="1" applyBorder="1" applyAlignment="1">
      <alignment horizontal="left" vertical="center" wrapText="1" indent="1"/>
    </xf>
    <xf numFmtId="165" fontId="11" fillId="2" borderId="21" xfId="0" applyNumberFormat="1" applyFont="1" applyFill="1" applyBorder="1" applyAlignment="1">
      <alignment horizontal="center" vertical="center" wrapText="1"/>
    </xf>
    <xf numFmtId="165" fontId="11" fillId="2" borderId="22" xfId="0" applyNumberFormat="1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left" vertical="center" wrapText="1" indent="1"/>
    </xf>
    <xf numFmtId="0" fontId="10" fillId="8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left" vertical="center" wrapText="1" indent="1"/>
    </xf>
    <xf numFmtId="165" fontId="11" fillId="8" borderId="15" xfId="0" applyNumberFormat="1" applyFont="1" applyFill="1" applyBorder="1" applyAlignment="1">
      <alignment horizontal="left" vertical="center" indent="1"/>
    </xf>
    <xf numFmtId="0" fontId="10" fillId="2" borderId="23" xfId="0" applyFont="1" applyFill="1" applyBorder="1" applyAlignment="1">
      <alignment horizontal="left" vertical="center" wrapText="1" indent="1"/>
    </xf>
    <xf numFmtId="0" fontId="10" fillId="2" borderId="24" xfId="0" applyFont="1" applyFill="1" applyBorder="1" applyAlignment="1">
      <alignment vertical="top" wrapText="1"/>
    </xf>
    <xf numFmtId="164" fontId="11" fillId="2" borderId="24" xfId="0" applyNumberFormat="1" applyFont="1" applyFill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right" vertical="center"/>
    </xf>
    <xf numFmtId="165" fontId="11" fillId="2" borderId="25" xfId="0" applyNumberFormat="1" applyFont="1" applyFill="1" applyBorder="1" applyAlignment="1">
      <alignment horizontal="center" vertical="center" wrapText="1"/>
    </xf>
    <xf numFmtId="165" fontId="11" fillId="3" borderId="26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left" vertical="center" wrapText="1" indent="1"/>
    </xf>
    <xf numFmtId="0" fontId="7" fillId="2" borderId="27" xfId="0" applyFont="1" applyFill="1" applyBorder="1" applyAlignment="1">
      <alignment vertical="center" wrapText="1"/>
    </xf>
    <xf numFmtId="0" fontId="11" fillId="2" borderId="27" xfId="0" applyFont="1" applyFill="1" applyBorder="1" applyAlignment="1">
      <alignment horizontal="left" vertical="center" wrapText="1" indent="1"/>
    </xf>
    <xf numFmtId="165" fontId="11" fillId="2" borderId="27" xfId="0" applyNumberFormat="1" applyFont="1" applyFill="1" applyBorder="1" applyAlignment="1">
      <alignment horizontal="left" vertical="center" wrapText="1" indent="1"/>
    </xf>
    <xf numFmtId="0" fontId="11" fillId="2" borderId="14" xfId="0" applyFont="1" applyFill="1" applyBorder="1" applyAlignment="1">
      <alignment horizontal="right" vertical="center" wrapText="1"/>
    </xf>
    <xf numFmtId="0" fontId="7" fillId="3" borderId="27" xfId="0" applyFont="1" applyFill="1" applyBorder="1" applyAlignment="1">
      <alignment vertical="center" wrapText="1"/>
    </xf>
    <xf numFmtId="0" fontId="13" fillId="3" borderId="27" xfId="0" applyFont="1" applyFill="1" applyBorder="1" applyAlignment="1">
      <alignment horizontal="right" vertical="center" wrapText="1" indent="1"/>
    </xf>
    <xf numFmtId="164" fontId="11" fillId="2" borderId="27" xfId="0" applyNumberFormat="1" applyFont="1" applyFill="1" applyBorder="1" applyAlignment="1">
      <alignment horizontal="center" vertical="center"/>
    </xf>
    <xf numFmtId="164" fontId="11" fillId="2" borderId="27" xfId="0" applyNumberFormat="1" applyFont="1" applyFill="1" applyBorder="1" applyAlignment="1">
      <alignment horizontal="right" vertical="center"/>
    </xf>
    <xf numFmtId="165" fontId="11" fillId="2" borderId="27" xfId="0" applyNumberFormat="1" applyFont="1" applyFill="1" applyBorder="1" applyAlignment="1">
      <alignment horizontal="right" vertical="center"/>
    </xf>
    <xf numFmtId="0" fontId="9" fillId="5" borderId="14" xfId="0" applyFont="1" applyFill="1" applyBorder="1" applyAlignment="1">
      <alignment horizontal="left" vertical="center" wrapText="1"/>
    </xf>
    <xf numFmtId="165" fontId="9" fillId="5" borderId="14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ES Theme">
  <a:themeElements>
    <a:clrScheme name="Custom 1">
      <a:dk1>
        <a:srgbClr val="000000"/>
      </a:dk1>
      <a:lt1>
        <a:srgbClr val="FFFFFF"/>
      </a:lt1>
      <a:dk2>
        <a:srgbClr val="289B99"/>
      </a:dk2>
      <a:lt2>
        <a:srgbClr val="FFFFFF"/>
      </a:lt2>
      <a:accent1>
        <a:srgbClr val="007749"/>
      </a:accent1>
      <a:accent2>
        <a:srgbClr val="00B140"/>
      </a:accent2>
      <a:accent3>
        <a:srgbClr val="00AEEF"/>
      </a:accent3>
      <a:accent4>
        <a:srgbClr val="04415C"/>
      </a:accent4>
      <a:accent5>
        <a:srgbClr val="7DC718"/>
      </a:accent5>
      <a:accent6>
        <a:srgbClr val="CDDC31"/>
      </a:accent6>
      <a:hlink>
        <a:srgbClr val="0092CC"/>
      </a:hlink>
      <a:folHlink>
        <a:srgbClr val="808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oval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1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  <a:sp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en-US" sz="18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lnDef>
  </a:objectDefaults>
  <a:extraClrSchemeLst>
    <a:extraClrScheme>
      <a:clrScheme name="4_NSTAR_Top_Blue-Red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NSTAR_Top_Blue-Red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ES Theme" id="{CA97371A-03D3-4B1D-BCE3-48390699BC84}" vid="{6D67B392-D226-40BA-836F-E08FCFE6E03C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  <outlinePr summaryBelow="1" summaryRight="1"/>
  </sheetPr>
  <dimension ref="A1:L54"/>
  <sheetViews>
    <sheetView workbookViewId="0" showGridLines="0" zoomScale="77" zoomScaleNormal="77">
      <selection activeCell="B2" sqref="B2"/>
    </sheetView>
  </sheetViews>
  <sheetFormatPr defaultRowHeight="33.95" outlineLevelRow="0" outlineLevelCol="0" x14ac:dyDescent="0" defaultColWidth="8.875" customHeight="1"/>
  <cols>
    <col min="1" max="1" width="2.625" style="1" customWidth="1"/>
    <col min="2" max="2" width="43.875" style="1" customWidth="1"/>
    <col min="3" max="3" width="43.375" style="1" customWidth="1"/>
    <col min="4" max="4" width="18.375" style="2" customWidth="1"/>
    <col min="5" max="5" width="14.5" style="1" customWidth="1"/>
    <col min="6" max="6" width="13" style="2" customWidth="1"/>
    <col min="7" max="8" width="13" style="1" customWidth="1"/>
    <col min="9" max="9" width="18.875" style="1" customWidth="1"/>
    <col min="10" max="10" width="30.5" style="3" customWidth="1"/>
    <col min="11" max="11" width="12.875" style="1" customWidth="1"/>
    <col min="12" max="12" width="11.375" style="1" customWidth="1"/>
    <col min="13" max="16384" width="8.875" style="1" customWidth="1"/>
  </cols>
  <sheetData>
    <row r="1" ht="16.5" customHeight="1" s="4" customFormat="1" x14ac:dyDescent="0.25"/>
    <row r="2" ht="48.75" customHeight="1" spans="1:12" s="1" customFormat="1" x14ac:dyDescent="0.25">
      <c r="A2" s="5"/>
      <c r="B2" s="6" t="s">
        <v>0</v>
      </c>
      <c r="C2" s="7"/>
      <c r="D2" s="7"/>
      <c r="E2" s="7"/>
      <c r="F2" s="7"/>
      <c r="G2" s="7"/>
      <c r="H2" s="8"/>
      <c r="I2" s="1"/>
      <c r="J2" s="3"/>
      <c r="K2" s="9"/>
      <c r="L2" s="1"/>
    </row>
    <row r="3" ht="20.45" customHeight="1" spans="1:12" s="1" customFormat="1" x14ac:dyDescent="0.25">
      <c r="A3" s="5"/>
      <c r="B3" s="10" t="s">
        <v>1</v>
      </c>
      <c r="C3" s="11"/>
      <c r="D3" s="12"/>
      <c r="E3" s="11"/>
      <c r="F3" s="12"/>
      <c r="G3" s="13"/>
      <c r="H3" s="14"/>
      <c r="I3" s="1"/>
      <c r="J3" s="3"/>
      <c r="K3" s="9"/>
      <c r="L3" s="1"/>
    </row>
    <row r="4" ht="20.45" customHeight="1" spans="1:12" s="1" customFormat="1" x14ac:dyDescent="0.25">
      <c r="A4" s="5"/>
      <c r="B4" s="15" t="s">
        <v>2</v>
      </c>
      <c r="C4" s="16" t="s">
        <v>3</v>
      </c>
      <c r="D4" s="12"/>
      <c r="E4" s="17" t="s">
        <v>4</v>
      </c>
      <c r="F4" s="12"/>
      <c r="G4" s="18" t="s">
        <v>5</v>
      </c>
      <c r="H4" s="14"/>
      <c r="I4" s="1"/>
      <c r="J4" s="3"/>
      <c r="K4" s="9"/>
      <c r="L4" s="1"/>
    </row>
    <row r="5" ht="20.45" customHeight="1" spans="2:11" s="4" customFormat="1" x14ac:dyDescent="0.25">
      <c r="B5" s="15" t="s">
        <v>6</v>
      </c>
      <c r="C5" s="16" t="s">
        <v>7</v>
      </c>
      <c r="D5" s="12"/>
      <c r="E5" s="17" t="s">
        <v>8</v>
      </c>
      <c r="F5" s="12"/>
      <c r="G5" s="19" t="s">
        <v>8</v>
      </c>
      <c r="H5" s="14"/>
      <c r="K5" s="9"/>
    </row>
    <row r="6" ht="20.45" customHeight="1" spans="2:11" s="4" customFormat="1" x14ac:dyDescent="0.25">
      <c r="B6" s="15" t="s">
        <v>9</v>
      </c>
      <c r="C6" s="20" t="s">
        <v>10</v>
      </c>
      <c r="D6" s="12"/>
      <c r="E6" s="17" t="s">
        <v>11</v>
      </c>
      <c r="F6" s="12"/>
      <c r="G6" s="19" t="s">
        <v>11</v>
      </c>
      <c r="H6" s="14"/>
      <c r="K6" s="9"/>
    </row>
    <row r="7" ht="20.45" customHeight="1" spans="2:11" s="4" customFormat="1" x14ac:dyDescent="0.25">
      <c r="B7" s="21"/>
      <c r="C7" s="17" t="s">
        <v>12</v>
      </c>
      <c r="D7" s="12"/>
      <c r="E7" s="22"/>
      <c r="F7" s="23"/>
      <c r="G7" s="19"/>
      <c r="H7" s="14"/>
      <c r="K7" s="9"/>
    </row>
    <row r="8" ht="51.75" customHeight="1" spans="2:10" s="4" customFormat="1" x14ac:dyDescent="0.25">
      <c r="B8" s="24" t="s">
        <v>13</v>
      </c>
      <c r="C8" s="25" t="s">
        <v>14</v>
      </c>
      <c r="D8" s="26" t="s">
        <v>15</v>
      </c>
      <c r="E8" s="26" t="s">
        <v>16</v>
      </c>
      <c r="F8" s="27" t="s">
        <v>17</v>
      </c>
      <c r="G8" s="27" t="s">
        <v>18</v>
      </c>
      <c r="H8" s="28" t="s">
        <v>19</v>
      </c>
      <c r="J8" s="1"/>
    </row>
    <row r="9" ht="30" customHeight="1" spans="2:10" s="4" customFormat="1" x14ac:dyDescent="0.25">
      <c r="B9" s="29" t="s">
        <v>20</v>
      </c>
      <c r="C9" s="30"/>
      <c r="D9" s="31"/>
      <c r="E9" s="32"/>
      <c r="F9" s="33"/>
      <c r="G9" s="34"/>
      <c r="H9" s="35"/>
      <c r="J9" s="1"/>
    </row>
    <row r="10" ht="30" customHeight="1" spans="2:10" s="4" customFormat="1" x14ac:dyDescent="0.25">
      <c r="B10" s="36" t="s">
        <v>21</v>
      </c>
      <c r="C10" s="37" t="s">
        <v>22</v>
      </c>
      <c r="D10" s="38"/>
      <c r="E10" s="34">
        <v>10</v>
      </c>
      <c r="F10" s="39">
        <v>0</v>
      </c>
      <c r="G10" s="40">
        <v>10000</v>
      </c>
      <c r="H10" s="41">
        <f>F10+G10</f>
        <v>10000</v>
      </c>
      <c r="J10" s="1"/>
    </row>
    <row r="11" ht="30" customHeight="1" spans="2:10" s="4" customFormat="1" x14ac:dyDescent="0.25">
      <c r="B11" s="29" t="s">
        <v>23</v>
      </c>
      <c r="C11" s="42"/>
      <c r="D11" s="43"/>
      <c r="E11" s="44"/>
      <c r="F11" s="45"/>
      <c r="G11" s="46"/>
      <c r="H11" s="47"/>
      <c r="I11" s="3"/>
      <c r="J11" s="1"/>
    </row>
    <row r="12" ht="30" customHeight="1" spans="2:10" s="4" customFormat="1" x14ac:dyDescent="0.25">
      <c r="B12" s="36" t="s">
        <v>24</v>
      </c>
      <c r="C12" s="37" t="s">
        <v>25</v>
      </c>
      <c r="D12" s="48"/>
      <c r="E12" s="49">
        <v>712</v>
      </c>
      <c r="F12" s="50">
        <v>0</v>
      </c>
      <c r="G12" s="51">
        <v>0</v>
      </c>
      <c r="H12" s="41">
        <v>0</v>
      </c>
      <c r="I12" s="3"/>
      <c r="J12" s="1"/>
    </row>
    <row r="13" ht="30" customHeight="1" spans="2:10" s="4" customFormat="1" x14ac:dyDescent="0.25">
      <c r="B13" s="36" t="s">
        <v>26</v>
      </c>
      <c r="C13" s="37" t="s">
        <v>25</v>
      </c>
      <c r="D13" s="48"/>
      <c r="E13" s="49">
        <v>0</v>
      </c>
      <c r="F13" s="50">
        <v>0</v>
      </c>
      <c r="G13" s="51">
        <v>0</v>
      </c>
      <c r="H13" s="41">
        <v>0</v>
      </c>
      <c r="I13" s="3"/>
      <c r="J13" s="1"/>
    </row>
    <row r="14" ht="30" customHeight="1" spans="2:10" s="4" customFormat="1" x14ac:dyDescent="0.25">
      <c r="B14" s="36" t="s">
        <v>27</v>
      </c>
      <c r="C14" s="37" t="s">
        <v>25</v>
      </c>
      <c r="D14" s="48"/>
      <c r="E14" s="49">
        <v>0</v>
      </c>
      <c r="F14" s="50">
        <v>0</v>
      </c>
      <c r="G14" s="51">
        <v>0</v>
      </c>
      <c r="H14" s="41">
        <v>0</v>
      </c>
      <c r="I14" s="3"/>
      <c r="J14" s="1"/>
    </row>
    <row r="15" ht="30" customHeight="1" spans="2:10" s="4" customFormat="1" x14ac:dyDescent="0.25">
      <c r="B15" s="36" t="s">
        <v>28</v>
      </c>
      <c r="C15" s="37" t="s">
        <v>29</v>
      </c>
      <c r="D15" s="48"/>
      <c r="E15" s="49">
        <v>10</v>
      </c>
      <c r="F15" s="50">
        <v>2500</v>
      </c>
      <c r="G15" s="51">
        <v>3000</v>
      </c>
      <c r="H15" s="41">
        <f>F15+G15</f>
        <v>5500</v>
      </c>
      <c r="I15" s="3"/>
      <c r="J15" s="1"/>
    </row>
    <row r="16" ht="30" customHeight="1" spans="2:10" s="4" customFormat="1" x14ac:dyDescent="0.25">
      <c r="B16" s="36" t="s">
        <v>30</v>
      </c>
      <c r="C16" s="37" t="s">
        <v>25</v>
      </c>
      <c r="D16" s="48"/>
      <c r="E16" s="49">
        <v>0</v>
      </c>
      <c r="F16" s="50">
        <v>0</v>
      </c>
      <c r="G16" s="52">
        <v>0</v>
      </c>
      <c r="H16" s="41">
        <v>0</v>
      </c>
      <c r="I16" s="3"/>
      <c r="J16" s="1"/>
    </row>
    <row r="17" ht="30" customHeight="1" spans="2:10" s="4" customFormat="1" x14ac:dyDescent="0.25">
      <c r="B17" s="36" t="s">
        <v>31</v>
      </c>
      <c r="C17" s="37" t="s">
        <v>25</v>
      </c>
      <c r="D17" s="48"/>
      <c r="E17" s="50">
        <v>0</v>
      </c>
      <c r="F17" s="50">
        <v>0</v>
      </c>
      <c r="G17" s="51">
        <v>0</v>
      </c>
      <c r="H17" s="41">
        <v>0</v>
      </c>
      <c r="I17" s="3"/>
      <c r="J17" s="1"/>
    </row>
    <row r="18" ht="30" customHeight="1" spans="2:10" s="4" customFormat="1" x14ac:dyDescent="0.25">
      <c r="B18" s="36" t="s">
        <v>32</v>
      </c>
      <c r="C18" s="37" t="s">
        <v>33</v>
      </c>
      <c r="D18" s="48"/>
      <c r="E18" s="50">
        <v>2</v>
      </c>
      <c r="F18" s="50">
        <v>1400</v>
      </c>
      <c r="G18" s="51">
        <v>570</v>
      </c>
      <c r="H18" s="41">
        <f>F18+G18</f>
        <v>1970</v>
      </c>
      <c r="I18" s="3"/>
      <c r="J18" s="1"/>
    </row>
    <row r="19" ht="30" customHeight="1" spans="2:10" s="4" customFormat="1" x14ac:dyDescent="0.25">
      <c r="B19" s="36" t="s">
        <v>34</v>
      </c>
      <c r="C19" s="53" t="s">
        <v>35</v>
      </c>
      <c r="D19" s="48"/>
      <c r="E19" s="50">
        <v>10</v>
      </c>
      <c r="F19" s="50">
        <v>1200</v>
      </c>
      <c r="G19" s="51">
        <v>9547.5</v>
      </c>
      <c r="H19" s="41">
        <f>F19+G19</f>
        <v>10747.5</v>
      </c>
      <c r="I19" s="3"/>
      <c r="J19" s="1"/>
    </row>
    <row r="20" ht="30" customHeight="1" spans="2:10" s="4" customFormat="1" x14ac:dyDescent="0.25">
      <c r="B20" s="54" t="s">
        <v>36</v>
      </c>
      <c r="C20" s="55"/>
      <c r="D20" s="54"/>
      <c r="E20" s="56"/>
      <c r="F20" s="56"/>
      <c r="G20" s="54"/>
      <c r="H20" s="54"/>
      <c r="I20" s="3"/>
      <c r="J20" s="1"/>
    </row>
    <row r="21" ht="30" customHeight="1" spans="2:10" s="4" customFormat="1" x14ac:dyDescent="0.25">
      <c r="B21" s="36" t="s">
        <v>37</v>
      </c>
      <c r="C21" s="37" t="s">
        <v>25</v>
      </c>
      <c r="D21" s="48"/>
      <c r="E21" s="52">
        <v>0</v>
      </c>
      <c r="F21" s="50">
        <v>0</v>
      </c>
      <c r="G21" s="51">
        <v>0</v>
      </c>
      <c r="H21" s="41">
        <v>0</v>
      </c>
      <c r="I21" s="3"/>
      <c r="J21" s="1"/>
    </row>
    <row r="22" ht="30" customHeight="1" spans="2:10" s="4" customFormat="1" x14ac:dyDescent="0.25">
      <c r="B22" s="36" t="s">
        <v>38</v>
      </c>
      <c r="C22" s="37" t="s">
        <v>25</v>
      </c>
      <c r="D22" s="48"/>
      <c r="E22" s="52">
        <v>0</v>
      </c>
      <c r="F22" s="50">
        <v>0</v>
      </c>
      <c r="G22" s="51">
        <v>0</v>
      </c>
      <c r="H22" s="41">
        <v>0</v>
      </c>
      <c r="I22" s="3"/>
      <c r="J22" s="1"/>
    </row>
    <row r="23" ht="30" customHeight="1" spans="2:10" s="4" customFormat="1" x14ac:dyDescent="0.25">
      <c r="B23" s="36" t="s">
        <v>28</v>
      </c>
      <c r="C23" s="37" t="s">
        <v>25</v>
      </c>
      <c r="D23" s="48"/>
      <c r="E23" s="49">
        <v>0</v>
      </c>
      <c r="F23" s="50">
        <v>0</v>
      </c>
      <c r="G23" s="52">
        <v>0</v>
      </c>
      <c r="H23" s="41">
        <v>0</v>
      </c>
      <c r="I23" s="3"/>
      <c r="J23" s="1"/>
    </row>
    <row r="24" ht="30" customHeight="1" spans="2:10" s="4" customFormat="1" x14ac:dyDescent="0.25">
      <c r="B24" s="36" t="s">
        <v>39</v>
      </c>
      <c r="C24" s="37" t="s">
        <v>25</v>
      </c>
      <c r="D24" s="48"/>
      <c r="E24" s="49">
        <v>0</v>
      </c>
      <c r="F24" s="57">
        <v>0</v>
      </c>
      <c r="G24" s="58">
        <v>0</v>
      </c>
      <c r="H24" s="41">
        <v>0</v>
      </c>
      <c r="I24" s="3"/>
      <c r="J24" s="1"/>
    </row>
    <row r="25" ht="30" customHeight="1" spans="2:10" s="4" customFormat="1" x14ac:dyDescent="0.25">
      <c r="B25" s="36" t="s">
        <v>34</v>
      </c>
      <c r="C25" s="53" t="s">
        <v>25</v>
      </c>
      <c r="D25" s="48"/>
      <c r="E25" s="59">
        <v>0</v>
      </c>
      <c r="F25" s="50">
        <v>0</v>
      </c>
      <c r="G25" s="51">
        <v>0</v>
      </c>
      <c r="H25" s="41">
        <v>0</v>
      </c>
      <c r="I25" s="3"/>
      <c r="J25" s="1"/>
    </row>
    <row r="26" ht="30" customHeight="1" spans="2:10" s="4" customFormat="1" x14ac:dyDescent="0.25">
      <c r="B26" s="60" t="s">
        <v>40</v>
      </c>
      <c r="C26" s="61"/>
      <c r="D26" s="62"/>
      <c r="E26" s="63"/>
      <c r="F26" s="64"/>
      <c r="G26" s="65"/>
      <c r="H26" s="66"/>
      <c r="I26" s="3"/>
      <c r="J26" s="1"/>
    </row>
    <row r="27" ht="54" customHeight="1" spans="2:9" s="1" customFormat="1" x14ac:dyDescent="0.25">
      <c r="B27" s="67" t="s">
        <v>41</v>
      </c>
      <c r="C27" s="68" t="s">
        <v>42</v>
      </c>
      <c r="D27" s="69"/>
      <c r="E27" s="70">
        <v>10</v>
      </c>
      <c r="F27" s="71">
        <v>11190</v>
      </c>
      <c r="G27" s="72">
        <v>15200</v>
      </c>
      <c r="H27" s="41">
        <f>F27+G27</f>
        <v>26390</v>
      </c>
      <c r="I27" s="3"/>
    </row>
    <row r="28" ht="58.5" customHeight="1" spans="2:9" s="1" customFormat="1" x14ac:dyDescent="0.25">
      <c r="B28" s="67" t="s">
        <v>43</v>
      </c>
      <c r="C28" s="68" t="s">
        <v>25</v>
      </c>
      <c r="D28" s="69"/>
      <c r="E28" s="70">
        <v>0</v>
      </c>
      <c r="F28" s="71">
        <v>0</v>
      </c>
      <c r="G28" s="73">
        <v>0</v>
      </c>
      <c r="H28" s="41">
        <v>0</v>
      </c>
      <c r="I28" s="3"/>
    </row>
    <row r="29" ht="30" customHeight="1" spans="2:9" s="1" customFormat="1" x14ac:dyDescent="0.25">
      <c r="B29" s="67" t="s">
        <v>44</v>
      </c>
      <c r="C29" s="74" t="s">
        <v>45</v>
      </c>
      <c r="D29" s="69"/>
      <c r="E29" s="70">
        <v>10</v>
      </c>
      <c r="F29" s="71">
        <v>0</v>
      </c>
      <c r="G29" s="72">
        <v>1250</v>
      </c>
      <c r="H29" s="41">
        <f>F29+G29</f>
        <v>1250</v>
      </c>
      <c r="I29" s="3"/>
    </row>
    <row r="30" ht="30" customHeight="1" spans="2:9" s="1" customFormat="1" x14ac:dyDescent="0.25">
      <c r="B30" s="67" t="s">
        <v>46</v>
      </c>
      <c r="C30" s="68" t="s">
        <v>25</v>
      </c>
      <c r="D30" s="69"/>
      <c r="E30" s="70">
        <v>0</v>
      </c>
      <c r="F30" s="71">
        <v>0</v>
      </c>
      <c r="G30" s="72">
        <v>0</v>
      </c>
      <c r="H30" s="41">
        <v>0</v>
      </c>
      <c r="I30" s="3"/>
    </row>
    <row r="31" ht="30" customHeight="1" spans="2:9" s="1" customFormat="1" x14ac:dyDescent="0.25">
      <c r="B31" s="60" t="s">
        <v>47</v>
      </c>
      <c r="C31" s="63"/>
      <c r="D31" s="62"/>
      <c r="E31" s="63"/>
      <c r="F31" s="64"/>
      <c r="G31" s="65"/>
      <c r="H31" s="66"/>
      <c r="I31" s="3"/>
    </row>
    <row r="32" ht="30" customHeight="1" spans="2:9" s="1" customFormat="1" x14ac:dyDescent="0.25">
      <c r="B32" s="67" t="s">
        <v>48</v>
      </c>
      <c r="C32" s="68" t="s">
        <v>49</v>
      </c>
      <c r="D32" s="69"/>
      <c r="E32" s="70">
        <v>10</v>
      </c>
      <c r="F32" s="71">
        <v>4800</v>
      </c>
      <c r="G32" s="72">
        <v>0</v>
      </c>
      <c r="H32" s="41">
        <f>F32+G32</f>
        <v>4800</v>
      </c>
      <c r="I32" s="3"/>
    </row>
    <row r="33" ht="30" customHeight="1" spans="2:9" s="1" customFormat="1" x14ac:dyDescent="0.25">
      <c r="B33" s="75" t="s">
        <v>50</v>
      </c>
      <c r="C33" s="76"/>
      <c r="D33" s="77"/>
      <c r="E33" s="78"/>
      <c r="F33" s="79"/>
      <c r="G33" s="80"/>
      <c r="H33" s="81"/>
      <c r="I33" s="3"/>
    </row>
    <row r="34" ht="30" customHeight="1" spans="2:10" s="4" customFormat="1" x14ac:dyDescent="0.25">
      <c r="B34" s="67" t="s">
        <v>51</v>
      </c>
      <c r="C34" s="74" t="s">
        <v>52</v>
      </c>
      <c r="D34" s="69"/>
      <c r="E34" s="82">
        <v>11</v>
      </c>
      <c r="F34" s="51">
        <v>400</v>
      </c>
      <c r="G34" s="51">
        <v>190</v>
      </c>
      <c r="H34" s="41">
        <f>F34+G34</f>
        <v>590</v>
      </c>
      <c r="I34" s="3"/>
      <c r="J34" s="1"/>
    </row>
    <row r="35" ht="30" customHeight="1" spans="2:10" s="4" customFormat="1" x14ac:dyDescent="0.25">
      <c r="B35" s="75" t="s">
        <v>53</v>
      </c>
      <c r="C35" s="75"/>
      <c r="D35" s="75"/>
      <c r="E35" s="75"/>
      <c r="F35" s="79"/>
      <c r="G35" s="75"/>
      <c r="H35" s="81"/>
      <c r="I35" s="3"/>
      <c r="J35" s="1"/>
    </row>
    <row r="36" ht="30" customHeight="1" spans="2:10" s="4" customFormat="1" x14ac:dyDescent="0.25">
      <c r="B36" s="36" t="s">
        <v>54</v>
      </c>
      <c r="C36" s="74" t="s">
        <v>25</v>
      </c>
      <c r="D36" s="48"/>
      <c r="E36" s="49">
        <v>0</v>
      </c>
      <c r="F36" s="71">
        <v>0</v>
      </c>
      <c r="G36" s="51">
        <v>0</v>
      </c>
      <c r="H36" s="41">
        <v>0</v>
      </c>
      <c r="I36" s="3"/>
      <c r="J36" s="1"/>
    </row>
    <row r="37" ht="30" customHeight="1" spans="2:10" s="4" customFormat="1" x14ac:dyDescent="0.25">
      <c r="B37" s="36" t="s">
        <v>55</v>
      </c>
      <c r="C37" s="74" t="s">
        <v>25</v>
      </c>
      <c r="D37" s="48"/>
      <c r="E37" s="49">
        <v>0</v>
      </c>
      <c r="F37" s="71">
        <v>0</v>
      </c>
      <c r="G37" s="51">
        <v>0</v>
      </c>
      <c r="H37" s="41">
        <v>0</v>
      </c>
      <c r="I37" s="3"/>
      <c r="J37" s="1"/>
    </row>
    <row r="38" ht="30" customHeight="1" spans="2:10" s="4" customFormat="1" x14ac:dyDescent="0.25">
      <c r="B38" s="36" t="s">
        <v>56</v>
      </c>
      <c r="C38" s="74" t="s">
        <v>25</v>
      </c>
      <c r="D38" s="48"/>
      <c r="E38" s="83">
        <v>0</v>
      </c>
      <c r="F38" s="84">
        <v>0</v>
      </c>
      <c r="G38" s="51">
        <v>0</v>
      </c>
      <c r="H38" s="41">
        <v>0</v>
      </c>
      <c r="I38" s="3"/>
      <c r="J38" s="1"/>
    </row>
    <row r="39" ht="30" customHeight="1" spans="2:10" s="4" customFormat="1" x14ac:dyDescent="0.25">
      <c r="B39" s="36" t="s">
        <v>57</v>
      </c>
      <c r="C39" s="74" t="s">
        <v>25</v>
      </c>
      <c r="D39" s="48"/>
      <c r="E39" s="83">
        <v>0</v>
      </c>
      <c r="F39" s="84">
        <v>0</v>
      </c>
      <c r="G39" s="51">
        <v>0</v>
      </c>
      <c r="H39" s="41">
        <v>0</v>
      </c>
      <c r="I39" s="3"/>
      <c r="J39" s="1"/>
    </row>
    <row r="40" ht="30" customHeight="1" spans="2:10" s="4" customFormat="1" x14ac:dyDescent="0.25">
      <c r="B40" s="36" t="s">
        <v>58</v>
      </c>
      <c r="C40" s="68" t="s">
        <v>25</v>
      </c>
      <c r="D40" s="48"/>
      <c r="E40" s="49">
        <v>0</v>
      </c>
      <c r="F40" s="71">
        <v>0</v>
      </c>
      <c r="G40" s="51">
        <v>0</v>
      </c>
      <c r="H40" s="41">
        <v>0</v>
      </c>
      <c r="I40" s="3"/>
      <c r="J40" s="1"/>
    </row>
    <row r="41" ht="30" customHeight="1" spans="2:10" s="4" customFormat="1" x14ac:dyDescent="0.25">
      <c r="B41" s="75" t="s">
        <v>59</v>
      </c>
      <c r="C41" s="76"/>
      <c r="D41" s="77"/>
      <c r="E41" s="78"/>
      <c r="F41" s="79"/>
      <c r="G41" s="80"/>
      <c r="H41" s="81"/>
      <c r="I41" s="3"/>
      <c r="J41" s="1"/>
    </row>
    <row r="42" ht="30" customHeight="1" spans="2:10" s="4" customFormat="1" x14ac:dyDescent="0.25">
      <c r="B42" s="67" t="s">
        <v>60</v>
      </c>
      <c r="C42" s="74" t="s">
        <v>25</v>
      </c>
      <c r="D42" s="69"/>
      <c r="E42" s="70">
        <v>0</v>
      </c>
      <c r="F42" s="71">
        <v>0</v>
      </c>
      <c r="G42" s="72">
        <v>0</v>
      </c>
      <c r="H42" s="41">
        <v>0</v>
      </c>
      <c r="I42" s="3"/>
      <c r="J42" s="1"/>
    </row>
    <row r="43" ht="30" customHeight="1" spans="2:10" s="4" customFormat="1" x14ac:dyDescent="0.25">
      <c r="B43" s="67" t="s">
        <v>61</v>
      </c>
      <c r="C43" s="74" t="s">
        <v>62</v>
      </c>
      <c r="D43" s="69"/>
      <c r="E43" s="70">
        <v>10</v>
      </c>
      <c r="F43" s="71">
        <v>3950</v>
      </c>
      <c r="G43" s="72">
        <v>0</v>
      </c>
      <c r="H43" s="41">
        <f>F43+G43</f>
        <v>3950</v>
      </c>
      <c r="I43" s="3"/>
      <c r="J43" s="1"/>
    </row>
    <row r="44" ht="30" customHeight="1" spans="2:10" s="4" customFormat="1" x14ac:dyDescent="0.25">
      <c r="B44" s="67" t="s">
        <v>63</v>
      </c>
      <c r="C44" s="74" t="s">
        <v>25</v>
      </c>
      <c r="D44" s="69"/>
      <c r="E44" s="70">
        <v>0</v>
      </c>
      <c r="F44" s="71">
        <v>0</v>
      </c>
      <c r="G44" s="72">
        <v>0</v>
      </c>
      <c r="H44" s="41">
        <v>0</v>
      </c>
      <c r="I44" s="3"/>
      <c r="J44" s="1"/>
    </row>
    <row r="45" ht="30" customHeight="1" spans="2:10" s="4" customFormat="1" x14ac:dyDescent="0.25">
      <c r="B45" s="85" t="s">
        <v>64</v>
      </c>
      <c r="C45" s="85" t="s">
        <v>25</v>
      </c>
      <c r="D45" s="86"/>
      <c r="E45" s="85">
        <v>0</v>
      </c>
      <c r="F45" s="85">
        <v>0</v>
      </c>
      <c r="G45" s="87">
        <v>0</v>
      </c>
      <c r="H45" s="88">
        <v>0</v>
      </c>
      <c r="I45" s="3"/>
      <c r="J45" s="1"/>
    </row>
    <row r="46" ht="30" customHeight="1" spans="2:10" s="4" customFormat="1" x14ac:dyDescent="0.25">
      <c r="B46" s="89" t="s">
        <v>34</v>
      </c>
      <c r="C46" s="90" t="s">
        <v>25</v>
      </c>
      <c r="D46" s="91"/>
      <c r="E46" s="92">
        <v>0</v>
      </c>
      <c r="F46" s="93">
        <v>0</v>
      </c>
      <c r="G46" s="94">
        <v>0</v>
      </c>
      <c r="H46" s="41">
        <v>0</v>
      </c>
      <c r="I46" s="3"/>
      <c r="J46" s="1"/>
    </row>
    <row r="47" ht="30" customHeight="1" spans="2:10" s="4" customFormat="1" x14ac:dyDescent="0.25">
      <c r="B47" s="95"/>
      <c r="C47" s="96" t="s">
        <v>65</v>
      </c>
      <c r="D47" s="97"/>
      <c r="E47" s="97"/>
      <c r="F47" s="97"/>
      <c r="G47" s="97"/>
      <c r="H47" s="98">
        <f>SUM(H10:H19)</f>
        <v>28217.5</v>
      </c>
      <c r="I47" s="3"/>
      <c r="J47" s="1"/>
    </row>
    <row r="48" ht="30" customHeight="1" spans="2:10" s="4" customFormat="1" x14ac:dyDescent="0.25">
      <c r="B48" s="95"/>
      <c r="C48" s="96" t="s">
        <v>66</v>
      </c>
      <c r="D48" s="97"/>
      <c r="E48" s="97"/>
      <c r="F48" s="97"/>
      <c r="G48" s="97"/>
      <c r="H48" s="98">
        <f>SUM(H27:H30)</f>
        <v>27640</v>
      </c>
      <c r="I48" s="3"/>
      <c r="J48" s="1"/>
    </row>
    <row r="49" ht="30" customHeight="1" spans="2:10" s="4" customFormat="1" x14ac:dyDescent="0.25">
      <c r="B49" s="95"/>
      <c r="C49" s="96" t="s">
        <v>67</v>
      </c>
      <c r="D49" s="97"/>
      <c r="E49" s="97"/>
      <c r="F49" s="97"/>
      <c r="G49" s="97"/>
      <c r="H49" s="98">
        <f>H32</f>
        <v>4800</v>
      </c>
      <c r="I49" s="3"/>
      <c r="J49" s="1"/>
    </row>
    <row r="50" ht="30" customHeight="1" spans="2:10" s="4" customFormat="1" x14ac:dyDescent="0.25">
      <c r="B50" s="95"/>
      <c r="C50" s="96" t="s">
        <v>68</v>
      </c>
      <c r="D50" s="97"/>
      <c r="E50" s="97"/>
      <c r="F50" s="97"/>
      <c r="G50" s="97"/>
      <c r="H50" s="98">
        <f>H47+H48+H49</f>
        <v>60657.5</v>
      </c>
      <c r="I50" s="3"/>
      <c r="J50" s="1"/>
    </row>
    <row r="51" ht="30" customHeight="1" spans="2:10" s="4" customFormat="1" x14ac:dyDescent="0.25">
      <c r="B51" s="95"/>
      <c r="C51" s="96" t="s">
        <v>69</v>
      </c>
      <c r="D51" s="95"/>
      <c r="E51" s="95"/>
      <c r="F51" s="95"/>
      <c r="G51" s="95"/>
      <c r="H51" s="98">
        <f>H34+SUM(H36:H40)+SUM(H42:H46)</f>
        <v>4540</v>
      </c>
      <c r="I51" s="3"/>
      <c r="J51" s="1"/>
    </row>
    <row r="52" ht="30" customHeight="1" spans="2:10" s="4" customFormat="1" x14ac:dyDescent="0.25">
      <c r="B52" s="99"/>
      <c r="C52" s="100" t="s">
        <v>70</v>
      </c>
      <c r="D52" s="101"/>
      <c r="E52" s="101"/>
      <c r="F52" s="101"/>
      <c r="G52" s="101"/>
      <c r="H52" s="101">
        <v>699.38</v>
      </c>
      <c r="J52" s="1"/>
    </row>
    <row r="53" ht="33" customHeight="1" spans="2:10" s="4" customFormat="1" x14ac:dyDescent="0.25">
      <c r="B53" s="99"/>
      <c r="C53" s="96" t="s">
        <v>71</v>
      </c>
      <c r="D53" s="102"/>
      <c r="E53" s="103"/>
      <c r="F53" s="102"/>
      <c r="G53" s="103"/>
      <c r="H53" s="104">
        <f>H50+H51+H52</f>
        <v>65896.88</v>
      </c>
      <c r="J53" s="1"/>
    </row>
    <row r="54" ht="33" customHeight="1" spans="2:10" s="4" customFormat="1" x14ac:dyDescent="0.25">
      <c r="B54" s="96" t="s">
        <v>72</v>
      </c>
      <c r="C54" s="105" t="s">
        <v>73</v>
      </c>
      <c r="D54" s="54"/>
      <c r="E54" s="54"/>
      <c r="F54" s="54"/>
      <c r="G54" s="54"/>
      <c r="H54" s="106">
        <v>0</v>
      </c>
      <c r="I54" s="107"/>
      <c r="J54" s="1"/>
    </row>
  </sheetData>
  <mergeCells count="16">
    <mergeCell ref="B2:H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</mergeCells>
  <dataValidations count="22">
    <dataValidation showInputMessage="1" prompt="Create a Simple Invoice in this worksheet" showErrorMessage="1" sqref="A2:A4"/>
    <dataValidation prompt="Enter Invoice Date in the cell at right" showErrorMessage="1" sqref="B3"/>
    <dataValidation showErrorMessage="1" sqref="B4:B5"/>
    <dataValidation prompt="Enter Item number in this column under this heading" showErrorMessage="1" sqref="B8"/>
    <dataValidation prompt="Enter Description in this column under this heading" showErrorMessage="1" sqref="C10"/>
    <dataValidation prompt="Enter Invoice Date in the cell at right" showErrorMessage="1" sqref="C4"/>
    <dataValidation showErrorMessage="1" sqref="C5"/>
    <dataValidation prompt="Enter Description in this column under this heading" showErrorMessage="1" sqref="C8:C10"/>
    <dataValidation prompt="Enter Quantity in this column under this heading" showErrorMessage="1" sqref="D10:E10"/>
    <dataValidation prompt="Enter Quantity in this column under this heading" showErrorMessage="1" sqref="D8:E10"/>
    <dataValidation prompt="Modify Company Name in this cell. Enter company address, phone, fax,  email &amp; website in cells B2 to G3. Enter Billing details in cells B4 to G7" showErrorMessage="1" sqref="E3:E4"/>
    <dataValidation prompt="Enter Unit Price in this column under this heading" showErrorMessage="1" sqref="F10:H10"/>
    <dataValidation prompt="Enter Unit Price in this column under this heading" showErrorMessage="1" sqref="F8:H10"/>
    <dataValidation showErrorMessage="1" sqref="G5"/>
    <dataValidation prompt="Enter company Fax Number in this cell" showErrorMessage="1" sqref="G6"/>
    <dataValidation prompt="Enter Unit Price in this column under this heading" showErrorMessage="1" sqref="H12:H19"/>
    <dataValidation prompt="Enter Unit Price in this column under this heading" showErrorMessage="1" sqref="H21:H25"/>
    <dataValidation prompt="Enter Unit Price in this column under this heading" showErrorMessage="1" sqref="H27:H30"/>
    <dataValidation prompt="Enter Unit Price in this column under this heading" showErrorMessage="1" sqref="H32"/>
    <dataValidation prompt="Enter Unit Price in this column under this heading" showErrorMessage="1" sqref="H34"/>
    <dataValidation prompt="Enter Unit Price in this column under this heading" showErrorMessage="1" sqref="H36:H40"/>
    <dataValidation prompt="Enter Unit Price in this column under this heading" showErrorMessage="1" sqref="H42:H46"/>
  </dataValidations>
  <printOptions horizontalCentered="1"/>
  <pageMargins left="0.7" right="0.7" top="1" bottom="1" header="0.3" footer="0.3"/>
  <pageSetup orientation="portrait" horizontalDpi="300" verticalDpi="300" scale="4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1</cp:revision>
  <dcterms:created xsi:type="dcterms:W3CDTF">2021-09-09T20:09:54Z</dcterms:created>
  <dcterms:modified xsi:type="dcterms:W3CDTF">2026-08-25T18:49:52Z</dcterms:modified>
</cp:coreProperties>
</file>